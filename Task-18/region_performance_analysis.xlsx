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Region Summary" sheetId="2" state="visible" r:id="rId4"/>
    <sheet name="Data" sheetId="3" state="visible" r:id="rId5"/>
    <sheet name="Guide" sheetId="4" state="visible" r:id="rId6"/>
  </sheets>
  <definedNames>
    <definedName function="false" hidden="true" localSheetId="2" name="_xlnm._FilterDatabase" vbProcedure="false">Data!$A$1:$H$33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Practice Superstore-style data created for this task because the screenshot specifies the dataset name but does not provide a source file.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5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<sst xmlns="http://schemas.openxmlformats.org/spreadsheetml/2006/main" count="249" uniqueCount="135">
  <si>
    <t xml:space="preserve">Region Performance Dashboard</t>
  </si>
  <si>
    <t xml:space="preserve">Compare sales and profit by region • Source: Data sheet • Task focus: grouping, comparison, and ranking</t>
  </si>
  <si>
    <t xml:space="preserve">Total Sales</t>
  </si>
  <si>
    <t xml:space="preserve">Total Profit</t>
  </si>
  <si>
    <t xml:space="preserve">Overall Margin</t>
  </si>
  <si>
    <t xml:space="preserve">Top Sales Region</t>
  </si>
  <si>
    <t xml:space="preserve">Region</t>
  </si>
  <si>
    <t xml:space="preserve">Sales</t>
  </si>
  <si>
    <t xml:space="preserve">Profit</t>
  </si>
  <si>
    <t xml:space="preserve">How to use this dashboard</t>
  </si>
  <si>
    <t xml:space="preserve">1. Review the chart to compare regional sales and profit.</t>
  </si>
  <si>
    <t xml:space="preserve">2. Open Region Summary to see formula-driven totals, margins, order counts, and ranks.</t>
  </si>
  <si>
    <t xml:space="preserve">3. Filter or replace rows on Data to update the analysis.</t>
  </si>
  <si>
    <t xml:space="preserve">Region Performance Summary</t>
  </si>
  <si>
    <t xml:space="preserve">Formula-driven comparison of sales, profit, margin, and regional rank</t>
  </si>
  <si>
    <t xml:space="preserve">Total Sales ($)</t>
  </si>
  <si>
    <t xml:space="preserve">Total Profit ($)</t>
  </si>
  <si>
    <t xml:space="preserve">Profit Margin</t>
  </si>
  <si>
    <t xml:space="preserve">Sales Rank</t>
  </si>
  <si>
    <t xml:space="preserve">Profit Rank</t>
  </si>
  <si>
    <t xml:space="preserve">Order Count</t>
  </si>
  <si>
    <t xml:space="preserve">Performance Note</t>
  </si>
  <si>
    <t xml:space="preserve">East</t>
  </si>
  <si>
    <t xml:space="preserve">West</t>
  </si>
  <si>
    <t xml:space="preserve">Central</t>
  </si>
  <si>
    <t xml:space="preserve">South</t>
  </si>
  <si>
    <t xml:space="preserve">Grand Total</t>
  </si>
  <si>
    <t xml:space="preserve">Best Sales Region</t>
  </si>
  <si>
    <t xml:space="preserve">Order Date</t>
  </si>
  <si>
    <t xml:space="preserve">Category</t>
  </si>
  <si>
    <t xml:space="preserve">Sub-Category</t>
  </si>
  <si>
    <t xml:space="preserve">Product</t>
  </si>
  <si>
    <t xml:space="preserve">Segment</t>
  </si>
  <si>
    <t xml:space="preserve">Sales ($)</t>
  </si>
  <si>
    <t xml:space="preserve">Profit ($)</t>
  </si>
  <si>
    <t xml:space="preserve">2025-01-08</t>
  </si>
  <si>
    <t xml:space="preserve">Technology</t>
  </si>
  <si>
    <t xml:space="preserve">Phones</t>
  </si>
  <si>
    <t xml:space="preserve">Samsung Galaxy A54</t>
  </si>
  <si>
    <t xml:space="preserve">Consumer</t>
  </si>
  <si>
    <t xml:space="preserve">2025-01-15</t>
  </si>
  <si>
    <t xml:space="preserve">Office Supplies</t>
  </si>
  <si>
    <t xml:space="preserve">Binders</t>
  </si>
  <si>
    <t xml:space="preserve">Avery Durable Binder</t>
  </si>
  <si>
    <t xml:space="preserve">Corporate</t>
  </si>
  <si>
    <t xml:space="preserve">2025-02-03</t>
  </si>
  <si>
    <t xml:space="preserve">Furniture</t>
  </si>
  <si>
    <t xml:space="preserve">Chairs</t>
  </si>
  <si>
    <t xml:space="preserve">Ergonomic Office Chair</t>
  </si>
  <si>
    <t xml:space="preserve">Home Office</t>
  </si>
  <si>
    <t xml:space="preserve">2025-02-21</t>
  </si>
  <si>
    <t xml:space="preserve">Accessories</t>
  </si>
  <si>
    <t xml:space="preserve">Wireless Mouse</t>
  </si>
  <si>
    <t xml:space="preserve">2025-03-14</t>
  </si>
  <si>
    <t xml:space="preserve">Paper</t>
  </si>
  <si>
    <t xml:space="preserve">Premium Copy Paper</t>
  </si>
  <si>
    <t xml:space="preserve">2025-04-04</t>
  </si>
  <si>
    <t xml:space="preserve">Tables</t>
  </si>
  <si>
    <t xml:space="preserve">Conference Table</t>
  </si>
  <si>
    <t xml:space="preserve">2025-05-19</t>
  </si>
  <si>
    <t xml:space="preserve">Laptops</t>
  </si>
  <si>
    <t xml:space="preserve">Business Laptop</t>
  </si>
  <si>
    <t xml:space="preserve">2025-06-27</t>
  </si>
  <si>
    <t xml:space="preserve">Storage</t>
  </si>
  <si>
    <t xml:space="preserve">Rolling File Cabinet</t>
  </si>
  <si>
    <t xml:space="preserve">2025-01-11</t>
  </si>
  <si>
    <t xml:space="preserve">iPhone 14</t>
  </si>
  <si>
    <t xml:space="preserve">2025-01-30</t>
  </si>
  <si>
    <t xml:space="preserve">Bookcases</t>
  </si>
  <si>
    <t xml:space="preserve">Oak Bookcase</t>
  </si>
  <si>
    <t xml:space="preserve">2025-02-18</t>
  </si>
  <si>
    <t xml:space="preserve">Labels</t>
  </si>
  <si>
    <t xml:space="preserve">Shipping Labels</t>
  </si>
  <si>
    <t xml:space="preserve">2025-03-09</t>
  </si>
  <si>
    <t xml:space="preserve">USB-C Dock</t>
  </si>
  <si>
    <t xml:space="preserve">2025-04-22</t>
  </si>
  <si>
    <t xml:space="preserve">Standing Desk</t>
  </si>
  <si>
    <t xml:space="preserve">2025-05-05</t>
  </si>
  <si>
    <t xml:space="preserve">Appliances</t>
  </si>
  <si>
    <t xml:space="preserve">Air Purifier</t>
  </si>
  <si>
    <t xml:space="preserve">2025-06-16</t>
  </si>
  <si>
    <t xml:space="preserve">Monitors</t>
  </si>
  <si>
    <t xml:space="preserve">27-inch Monitor</t>
  </si>
  <si>
    <t xml:space="preserve">2025-07-02</t>
  </si>
  <si>
    <t xml:space="preserve">Mesh Task Chair</t>
  </si>
  <si>
    <t xml:space="preserve">2025-01-06</t>
  </si>
  <si>
    <t xml:space="preserve">Recycled Paper</t>
  </si>
  <si>
    <t xml:space="preserve">2025-01-25</t>
  </si>
  <si>
    <t xml:space="preserve">Google Pixel 8</t>
  </si>
  <si>
    <t xml:space="preserve">2025-02-12</t>
  </si>
  <si>
    <t xml:space="preserve">Training Chair</t>
  </si>
  <si>
    <t xml:space="preserve">2025-03-28</t>
  </si>
  <si>
    <t xml:space="preserve">Presentation Binder</t>
  </si>
  <si>
    <t xml:space="preserve">2025-04-18</t>
  </si>
  <si>
    <t xml:space="preserve">Keyboard and Mouse Set</t>
  </si>
  <si>
    <t xml:space="preserve">2025-05-23</t>
  </si>
  <si>
    <t xml:space="preserve">Five-Shelf Bookcase</t>
  </si>
  <si>
    <t xml:space="preserve">2025-06-08</t>
  </si>
  <si>
    <t xml:space="preserve">Storage Box Set</t>
  </si>
  <si>
    <t xml:space="preserve">2025-07-21</t>
  </si>
  <si>
    <t xml:space="preserve">Copiers</t>
  </si>
  <si>
    <t xml:space="preserve">Compact Copier</t>
  </si>
  <si>
    <t xml:space="preserve">2025-01-13</t>
  </si>
  <si>
    <t xml:space="preserve">Executive Chair</t>
  </si>
  <si>
    <t xml:space="preserve">2025-02-06</t>
  </si>
  <si>
    <t xml:space="preserve">Colored Paper Pack</t>
  </si>
  <si>
    <t xml:space="preserve">2025-02-26</t>
  </si>
  <si>
    <t xml:space="preserve">OnePlus 12</t>
  </si>
  <si>
    <t xml:space="preserve">2025-03-17</t>
  </si>
  <si>
    <t xml:space="preserve">Side Table</t>
  </si>
  <si>
    <t xml:space="preserve">2025-04-12</t>
  </si>
  <si>
    <t xml:space="preserve">Desk Fan</t>
  </si>
  <si>
    <t xml:space="preserve">2025-05-14</t>
  </si>
  <si>
    <t xml:space="preserve">Student Laptop</t>
  </si>
  <si>
    <t xml:space="preserve">2025-06-25</t>
  </si>
  <si>
    <t xml:space="preserve">Compact Bookcase</t>
  </si>
  <si>
    <t xml:space="preserve">2025-07-18</t>
  </si>
  <si>
    <t xml:space="preserve">Desk Organizer</t>
  </si>
  <si>
    <t xml:space="preserve">Workbook Guide</t>
  </si>
  <si>
    <t xml:space="preserve">Task</t>
  </si>
  <si>
    <t xml:space="preserve">Region Performance — compare sales across regions.</t>
  </si>
  <si>
    <t xml:space="preserve">Objective</t>
  </si>
  <si>
    <t xml:space="preserve">Practice grouping, comparison, and ranking using sales and profit.</t>
  </si>
  <si>
    <t xml:space="preserve">Tools</t>
  </si>
  <si>
    <t xml:space="preserve">Excel workbook with formulas, table filters, conditional formatting, and a bar chart.</t>
  </si>
  <si>
    <t xml:space="preserve">Deliverables included</t>
  </si>
  <si>
    <t xml:space="preserve">Region summary and bar chart, plus formula-driven KPIs.</t>
  </si>
  <si>
    <t xml:space="preserve">Dataset note</t>
  </si>
  <si>
    <t xml:space="preserve">A compact Superstore-style practice dataset is included because no source data file was attached.</t>
  </si>
  <si>
    <t xml:space="preserve">Formula logic</t>
  </si>
  <si>
    <t xml:space="preserve">SUMIF calculates regional sales/profit; IFERROR calculates margin; RANK.EQ ranks regions; COUNTIF counts orders.</t>
  </si>
  <si>
    <t xml:space="preserve">Update workflow</t>
  </si>
  <si>
    <t xml:space="preserve">Paste or edit records in the Data sheet. Summary formulas and chart-linked values update when Excel recalculates.</t>
  </si>
  <si>
    <t xml:space="preserve">Interview prompts</t>
  </si>
  <si>
    <t xml:space="preserve">Why compare profit with sales? Which region leads? Does the highest-sales region also have the highest margin?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</si>
</sst>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#,##0;\(#,##0\);\-"/>
    <numFmt numFmtId="168" formatCode="yyyy\-mm\-dd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1"/>
      <color rgb="FF5B657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5"/>
      <color rgb="FF1F2937"/>
      <name val="Calibri"/>
      <family val="0"/>
      <charset val="1"/>
    </font>
    <font>
      <b val="true"/>
      <sz val="13"/>
      <color rgb="FF17365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Calibri"/>
      <family val="0"/>
      <charset val="1"/>
    </font>
    <font>
      <b val="true"/>
      <sz val="11"/>
      <color rgb="FF1F2937"/>
      <name val="Calibri"/>
      <family val="0"/>
      <charset val="1"/>
    </font>
    <font>
      <b val="true"/>
      <sz val="11"/>
      <color rgb="FF1F2937"/>
      <name val="Cambria"/>
      <family val="0"/>
      <charset val="1"/>
    </font>
    <font>
      <sz val="10"/>
      <name val="Arial"/>
      <family val="2"/>
    </font>
    <font>
      <b val="true"/>
      <sz val="11"/>
      <color rgb="FF17365D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2F75B5"/>
        <bgColor rgb="FF4F81BD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878787"/>
      </patternFill>
    </fill>
    <fill>
      <patternFill patternType="solid">
        <fgColor rgb="FFF7F9FB"/>
        <bgColor rgb="FFF9F9F9"/>
      </patternFill>
    </fill>
    <fill>
      <patternFill patternType="solid">
        <fgColor rgb="FFF8FBFE"/>
        <bgColor rgb="FFF7F9FB"/>
      </patternFill>
    </fill>
    <fill>
      <patternFill patternType="solid">
        <fgColor rgb="FFFCE4D6"/>
        <bgColor rgb="FFF9F9F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7365D"/>
      </bottom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 style="medium">
        <color rgb="FF17365D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7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7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7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fgColor rgb="FFF8FB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B"/>
      <rgbColor rgb="FFF8FBFE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ED7D31"/>
      <rgbColor rgb="FF5B6573"/>
      <rgbColor rgb="FF70AD47"/>
      <rgbColor rgb="FF17365D"/>
      <rgbColor rgb="FF4F81BD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and Profit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Dashboard!B8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\$#,##0;&quot;($&quot;#,##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Dashboard!$A$9:$A$12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Dashboard!$B$9:$B$12</c:f>
              <c:numCache>
                <c:formatCode>\$#,##0;"($"#,##0\);\-</c:formatCode>
                <c:ptCount val="4"/>
                <c:pt idx="0">
                  <c:v>5106</c:v>
                </c:pt>
                <c:pt idx="1">
                  <c:v>5233</c:v>
                </c:pt>
                <c:pt idx="2">
                  <c:v>3860</c:v>
                </c:pt>
                <c:pt idx="3">
                  <c:v>3670</c:v>
                </c:pt>
              </c:numCache>
            </c:numRef>
          </c:val>
        </c:ser>
        <c:ser>
          <c:idx val="1"/>
          <c:order val="1"/>
          <c:tx>
            <c:strRef>
              <c:f>Dashboard!C8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numFmt formatCode="\$#,##0;&quot;($&quot;#,##0\);\-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Dashboard!$A$9:$A$12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Dashboard!$C$9:$C$12</c:f>
              <c:numCache>
                <c:formatCode>\$#,##0;"($"#,##0\);\-</c:formatCode>
                <c:ptCount val="4"/>
                <c:pt idx="0">
                  <c:v>921</c:v>
                </c:pt>
                <c:pt idx="1">
                  <c:v>925</c:v>
                </c:pt>
                <c:pt idx="2">
                  <c:v>743</c:v>
                </c:pt>
                <c:pt idx="3">
                  <c:v>692</c:v>
                </c:pt>
              </c:numCache>
            </c:numRef>
          </c:val>
        </c:ser>
        <c:gapWidth val="150"/>
        <c:overlap val="0"/>
        <c:axId val="31200614"/>
        <c:axId val="99681007"/>
      </c:barChart>
      <c:catAx>
        <c:axId val="312006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81007"/>
        <c:crosses val="autoZero"/>
        <c:auto val="1"/>
        <c:lblAlgn val="ctr"/>
        <c:lblOffset val="100"/>
        <c:noMultiLvlLbl val="0"/>
      </c:catAx>
      <c:valAx>
        <c:axId val="99681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20061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6</xdr:row>
      <xdr:rowOff>145440</xdr:rowOff>
    </xdr:from>
    <xdr:to>
      <xdr:col>9</xdr:col>
      <xdr:colOff>78480</xdr:colOff>
      <xdr:row>25</xdr:row>
      <xdr:rowOff>57240</xdr:rowOff>
    </xdr:to>
    <xdr:graphicFrame>
      <xdr:nvGraphicFramePr>
        <xdr:cNvPr id="0" name="Chart 1"/>
        <xdr:cNvGraphicFramePr/>
      </xdr:nvGraphicFramePr>
      <xdr:xfrm>
        <a:off x="5120640" y="1536120"/>
        <a:ext cx="6479280" cy="356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SalesData" displayName="SalesData" ref="A1:H33" headerRowCount="1" totalsRowCount="0" totalsRowShown="0">
  <autoFilter ref="A1:H33"/>
  <tableColumns count="8">
    <tableColumn id="1" name="Order Date"/>
    <tableColumn id="2" name="Region"/>
    <tableColumn id="3" name="Category"/>
    <tableColumn id="4" name="Sub-Category"/>
    <tableColumn id="5" name="Product"/>
    <tableColumn id="6" name="Segment"/>
    <tableColumn id="7" name="Sales ($)"/>
    <tableColumn id="8" name="Profit ($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0" min="1" style="1" width="16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2</v>
      </c>
      <c r="B4" s="4"/>
      <c r="C4" s="5" t="s">
        <v>3</v>
      </c>
      <c r="D4" s="5"/>
      <c r="E4" s="6" t="s">
        <v>4</v>
      </c>
      <c r="F4" s="6"/>
      <c r="G4" s="7" t="s">
        <v>5</v>
      </c>
      <c r="H4" s="7"/>
    </row>
    <row r="5" customFormat="false" ht="18" hidden="false" customHeight="true" outlineLevel="0" collapsed="false">
      <c r="A5" s="8" t="n">
        <f aca="false">'Region Summary'!B9</f>
        <v>17869</v>
      </c>
      <c r="B5" s="8"/>
      <c r="C5" s="8" t="n">
        <f aca="false">'Region Summary'!C9</f>
        <v>3281</v>
      </c>
      <c r="D5" s="8"/>
      <c r="E5" s="9" t="n">
        <f aca="false">'Region Summary'!D9</f>
        <v>0.183614080250714</v>
      </c>
      <c r="F5" s="9"/>
      <c r="G5" s="10" t="str">
        <f aca="false">'Region Summary'!G13</f>
        <v>West</v>
      </c>
      <c r="H5" s="10"/>
    </row>
    <row r="8" customFormat="false" ht="15" hidden="false" customHeight="true" outlineLevel="0" collapsed="false">
      <c r="A8" s="11" t="s">
        <v>6</v>
      </c>
      <c r="B8" s="11" t="s">
        <v>7</v>
      </c>
      <c r="C8" s="11" t="s">
        <v>8</v>
      </c>
    </row>
    <row r="9" customFormat="false" ht="15" hidden="false" customHeight="true" outlineLevel="0" collapsed="false">
      <c r="A9" s="12" t="str">
        <f aca="false">'Region Summary'!A5</f>
        <v>East</v>
      </c>
      <c r="B9" s="13" t="n">
        <f aca="false">'Region Summary'!B5</f>
        <v>5106</v>
      </c>
      <c r="C9" s="13" t="n">
        <f aca="false">'Region Summary'!C5</f>
        <v>921</v>
      </c>
    </row>
    <row r="10" customFormat="false" ht="15" hidden="false" customHeight="true" outlineLevel="0" collapsed="false">
      <c r="A10" s="12" t="str">
        <f aca="false">'Region Summary'!A6</f>
        <v>West</v>
      </c>
      <c r="B10" s="13" t="n">
        <f aca="false">'Region Summary'!B6</f>
        <v>5233</v>
      </c>
      <c r="C10" s="13" t="n">
        <f aca="false">'Region Summary'!C6</f>
        <v>925</v>
      </c>
    </row>
    <row r="11" customFormat="false" ht="15" hidden="false" customHeight="true" outlineLevel="0" collapsed="false">
      <c r="A11" s="12" t="str">
        <f aca="false">'Region Summary'!A7</f>
        <v>Central</v>
      </c>
      <c r="B11" s="13" t="n">
        <f aca="false">'Region Summary'!B7</f>
        <v>3860</v>
      </c>
      <c r="C11" s="13" t="n">
        <f aca="false">'Region Summary'!C7</f>
        <v>743</v>
      </c>
    </row>
    <row r="12" customFormat="false" ht="15" hidden="false" customHeight="true" outlineLevel="0" collapsed="false">
      <c r="A12" s="12" t="str">
        <f aca="false">'Region Summary'!A8</f>
        <v>South</v>
      </c>
      <c r="B12" s="13" t="n">
        <f aca="false">'Region Summary'!B8</f>
        <v>3670</v>
      </c>
      <c r="C12" s="13" t="n">
        <f aca="false">'Region Summary'!C8</f>
        <v>692</v>
      </c>
    </row>
    <row r="15" customFormat="false" ht="15.75" hidden="false" customHeight="true" outlineLevel="0" collapsed="false">
      <c r="A15" s="14" t="s">
        <v>9</v>
      </c>
      <c r="B15" s="14"/>
      <c r="C15" s="14"/>
      <c r="D15" s="14"/>
      <c r="E15" s="14"/>
      <c r="F15" s="14"/>
      <c r="G15" s="14"/>
      <c r="H15" s="14"/>
      <c r="I15" s="14"/>
      <c r="J15" s="14"/>
    </row>
    <row r="16" customFormat="false" ht="15.75" hidden="false" customHeight="true" outlineLevel="0" collapsed="false">
      <c r="A16" s="15" t="s">
        <v>10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15.75" hidden="false" customHeight="true" outlineLevel="0" collapsed="false">
      <c r="A17" s="15" t="s">
        <v>11</v>
      </c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15.75" hidden="false" customHeight="true" outlineLevel="0" collapsed="false">
      <c r="A18" s="15" t="s">
        <v>12</v>
      </c>
      <c r="B18" s="15"/>
      <c r="C18" s="15"/>
      <c r="D18" s="15"/>
      <c r="E18" s="15"/>
      <c r="F18" s="15"/>
      <c r="G18" s="15"/>
      <c r="H18" s="15"/>
      <c r="I18" s="15"/>
      <c r="J18" s="15"/>
    </row>
  </sheetData>
  <mergeCells count="14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3" min="1" style="1" width="16"/>
    <col collapsed="false" customWidth="true" hidden="false" outlineLevel="0" max="4" min="4" style="1" width="15"/>
    <col collapsed="false" customWidth="true" hidden="false" outlineLevel="0" max="6" min="5" style="1" width="12"/>
    <col collapsed="false" customWidth="true" hidden="false" outlineLevel="0" max="7" min="7" style="1" width="13"/>
    <col collapsed="false" customWidth="true" hidden="false" outlineLevel="0" max="8" min="8" style="1" width="24"/>
  </cols>
  <sheetData>
    <row r="1" customFormat="false" ht="30" hidden="false" customHeight="true" outlineLevel="0" collapsed="false">
      <c r="A1" s="16" t="s">
        <v>13</v>
      </c>
      <c r="B1" s="16"/>
      <c r="C1" s="16"/>
      <c r="D1" s="16"/>
      <c r="E1" s="16"/>
      <c r="F1" s="16"/>
      <c r="G1" s="16"/>
      <c r="H1" s="16"/>
    </row>
    <row r="2" customFormat="false" ht="15" hidden="false" customHeight="true" outlineLevel="0" collapsed="false">
      <c r="A2" s="3" t="s">
        <v>14</v>
      </c>
      <c r="B2" s="3"/>
      <c r="C2" s="3"/>
      <c r="D2" s="3"/>
      <c r="E2" s="3"/>
      <c r="F2" s="3"/>
      <c r="G2" s="3"/>
      <c r="H2" s="3"/>
    </row>
    <row r="4" customFormat="false" ht="15.75" hidden="false" customHeight="true" outlineLevel="0" collapsed="false">
      <c r="A4" s="17" t="s">
        <v>6</v>
      </c>
      <c r="B4" s="17" t="s">
        <v>15</v>
      </c>
      <c r="C4" s="17" t="s">
        <v>16</v>
      </c>
      <c r="D4" s="17" t="s">
        <v>17</v>
      </c>
      <c r="E4" s="17" t="s">
        <v>18</v>
      </c>
      <c r="F4" s="17" t="s">
        <v>19</v>
      </c>
      <c r="G4" s="17" t="s">
        <v>20</v>
      </c>
      <c r="H4" s="17" t="s">
        <v>21</v>
      </c>
    </row>
    <row r="5" customFormat="false" ht="15.75" hidden="false" customHeight="true" outlineLevel="0" collapsed="false">
      <c r="A5" s="18" t="s">
        <v>22</v>
      </c>
      <c r="B5" s="19" t="n">
        <f aca="false">SUMIF(Data!$B$2:$B$33,A5,Data!$G$2:$G$33)</f>
        <v>5106</v>
      </c>
      <c r="C5" s="19" t="n">
        <f aca="false">SUMIF(Data!$B$2:$B$33,A5,Data!$H$2:$H$33)</f>
        <v>921</v>
      </c>
      <c r="D5" s="20" t="n">
        <f aca="false">IFERROR(C5/B5,0)</f>
        <v>0.180376028202115</v>
      </c>
      <c r="E5" s="21" t="n">
        <f aca="false">RANK(B5,$B$5:$B$8,0)</f>
        <v>2</v>
      </c>
      <c r="F5" s="21" t="n">
        <f aca="false">RANK(C5,$C$5:$C$8,0)</f>
        <v>2</v>
      </c>
      <c r="G5" s="21" t="n">
        <f aca="false">COUNTIF(Data!$B$2:$B$33,A5)</f>
        <v>8</v>
      </c>
      <c r="H5" s="18" t="str">
        <f aca="false">IF(AND(E5=1,F5=1),"Top sales and profit",IF(E5=1,"Top sales",IF(F5=1,"Top profit","Monitor performance")))</f>
        <v>Monitor performance</v>
      </c>
    </row>
    <row r="6" customFormat="false" ht="15.75" hidden="false" customHeight="true" outlineLevel="0" collapsed="false">
      <c r="A6" s="22" t="s">
        <v>23</v>
      </c>
      <c r="B6" s="23" t="n">
        <f aca="false">SUMIF(Data!$B$2:$B$33,A6,Data!$G$2:$G$33)</f>
        <v>5233</v>
      </c>
      <c r="C6" s="23" t="n">
        <f aca="false">SUMIF(Data!$B$2:$B$33,A6,Data!$H$2:$H$33)</f>
        <v>925</v>
      </c>
      <c r="D6" s="24" t="n">
        <f aca="false">IFERROR(C6/B6,0)</f>
        <v>0.176762851137015</v>
      </c>
      <c r="E6" s="25" t="n">
        <f aca="false">RANK(B6,$B$5:$B$8,0)</f>
        <v>1</v>
      </c>
      <c r="F6" s="25" t="n">
        <f aca="false">RANK(C6,$C$5:$C$8,0)</f>
        <v>1</v>
      </c>
      <c r="G6" s="25" t="n">
        <f aca="false">COUNTIF(Data!$B$2:$B$33,A6)</f>
        <v>8</v>
      </c>
      <c r="H6" s="22" t="str">
        <f aca="false">IF(AND(E6=1,F6=1),"Top sales and profit",IF(E6=1,"Top sales",IF(F6=1,"Top profit","Monitor performance")))</f>
        <v>Top sales and profit</v>
      </c>
    </row>
    <row r="7" customFormat="false" ht="15.75" hidden="false" customHeight="true" outlineLevel="0" collapsed="false">
      <c r="A7" s="18" t="s">
        <v>24</v>
      </c>
      <c r="B7" s="19" t="n">
        <f aca="false">SUMIF(Data!$B$2:$B$33,A7,Data!$G$2:$G$33)</f>
        <v>3860</v>
      </c>
      <c r="C7" s="19" t="n">
        <f aca="false">SUMIF(Data!$B$2:$B$33,A7,Data!$H$2:$H$33)</f>
        <v>743</v>
      </c>
      <c r="D7" s="20" t="n">
        <f aca="false">IFERROR(C7/B7,0)</f>
        <v>0.192487046632124</v>
      </c>
      <c r="E7" s="21" t="n">
        <f aca="false">RANK(B7,$B$5:$B$8,0)</f>
        <v>3</v>
      </c>
      <c r="F7" s="21" t="n">
        <f aca="false">RANK(C7,$C$5:$C$8,0)</f>
        <v>3</v>
      </c>
      <c r="G7" s="21" t="n">
        <f aca="false">COUNTIF(Data!$B$2:$B$33,A7)</f>
        <v>8</v>
      </c>
      <c r="H7" s="18" t="str">
        <f aca="false">IF(AND(E7=1,F7=1),"Top sales and profit",IF(E7=1,"Top sales",IF(F7=1,"Top profit","Monitor performance")))</f>
        <v>Monitor performance</v>
      </c>
    </row>
    <row r="8" customFormat="false" ht="15.75" hidden="false" customHeight="true" outlineLevel="0" collapsed="false">
      <c r="A8" s="22" t="s">
        <v>25</v>
      </c>
      <c r="B8" s="23" t="n">
        <f aca="false">SUMIF(Data!$B$2:$B$33,A8,Data!$G$2:$G$33)</f>
        <v>3670</v>
      </c>
      <c r="C8" s="23" t="n">
        <f aca="false">SUMIF(Data!$B$2:$B$33,A8,Data!$H$2:$H$33)</f>
        <v>692</v>
      </c>
      <c r="D8" s="24" t="n">
        <f aca="false">IFERROR(C8/B8,0)</f>
        <v>0.188555858310627</v>
      </c>
      <c r="E8" s="25" t="n">
        <f aca="false">RANK(B8,$B$5:$B$8,0)</f>
        <v>4</v>
      </c>
      <c r="F8" s="25" t="n">
        <f aca="false">RANK(C8,$C$5:$C$8,0)</f>
        <v>4</v>
      </c>
      <c r="G8" s="25" t="n">
        <f aca="false">COUNTIF(Data!$B$2:$B$33,A8)</f>
        <v>8</v>
      </c>
      <c r="H8" s="22" t="str">
        <f aca="false">IF(AND(E8=1,F8=1),"Top sales and profit",IF(E8=1,"Top sales",IF(F8=1,"Top profit","Monitor performance")))</f>
        <v>Monitor performance</v>
      </c>
    </row>
    <row r="9" customFormat="false" ht="15" hidden="false" customHeight="true" outlineLevel="0" collapsed="false">
      <c r="A9" s="26" t="s">
        <v>26</v>
      </c>
      <c r="B9" s="27" t="n">
        <f aca="false">SUM(B5:B8)</f>
        <v>17869</v>
      </c>
      <c r="C9" s="27" t="n">
        <f aca="false">SUM(C5:C8)</f>
        <v>3281</v>
      </c>
      <c r="D9" s="28" t="n">
        <f aca="false">IFERROR(C9/B9,0)</f>
        <v>0.183614080250714</v>
      </c>
      <c r="E9" s="29"/>
      <c r="F9" s="29"/>
      <c r="G9" s="30" t="n">
        <f aca="false">SUM(G5:G8)</f>
        <v>32</v>
      </c>
      <c r="H9" s="29"/>
    </row>
    <row r="12" customFormat="false" ht="15" hidden="false" customHeight="true" outlineLevel="0" collapsed="false">
      <c r="A12" s="4" t="s">
        <v>2</v>
      </c>
      <c r="B12" s="4"/>
      <c r="C12" s="5" t="s">
        <v>3</v>
      </c>
      <c r="D12" s="5"/>
      <c r="E12" s="6" t="s">
        <v>4</v>
      </c>
      <c r="F12" s="6"/>
      <c r="G12" s="7" t="s">
        <v>27</v>
      </c>
      <c r="H12" s="7"/>
    </row>
    <row r="13" customFormat="false" ht="18" hidden="false" customHeight="true" outlineLevel="0" collapsed="false">
      <c r="A13" s="8" t="n">
        <f aca="false">B9</f>
        <v>17869</v>
      </c>
      <c r="B13" s="8"/>
      <c r="C13" s="8" t="n">
        <f aca="false">C9</f>
        <v>3281</v>
      </c>
      <c r="D13" s="8"/>
      <c r="E13" s="9" t="n">
        <f aca="false">D9</f>
        <v>0.183614080250714</v>
      </c>
      <c r="F13" s="9"/>
      <c r="G13" s="10" t="str">
        <f aca="false">INDEX(A5:A8,MATCH(1,E5:E8,0))</f>
        <v>West</v>
      </c>
      <c r="H13" s="10"/>
    </row>
  </sheetData>
  <mergeCells count="10">
    <mergeCell ref="A1:H1"/>
    <mergeCell ref="A2:H2"/>
    <mergeCell ref="A12:B12"/>
    <mergeCell ref="C12:D12"/>
    <mergeCell ref="E12:F12"/>
    <mergeCell ref="G12:H12"/>
    <mergeCell ref="A13:B13"/>
    <mergeCell ref="C13:D13"/>
    <mergeCell ref="E13:F13"/>
    <mergeCell ref="G13:H13"/>
  </mergeCells>
  <conditionalFormatting sqref="D5:D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4" min="3" style="1" width="18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8" min="7" style="1" width="14"/>
  </cols>
  <sheetData>
    <row r="1" customFormat="false" ht="15" hidden="false" customHeight="true" outlineLevel="0" collapsed="false">
      <c r="A1" s="31" t="s">
        <v>28</v>
      </c>
      <c r="B1" s="31" t="s">
        <v>6</v>
      </c>
      <c r="C1" s="31" t="s">
        <v>29</v>
      </c>
      <c r="D1" s="31" t="s">
        <v>30</v>
      </c>
      <c r="E1" s="31" t="s">
        <v>31</v>
      </c>
      <c r="F1" s="31" t="s">
        <v>32</v>
      </c>
      <c r="G1" s="31" t="s">
        <v>33</v>
      </c>
      <c r="H1" s="31" t="s">
        <v>34</v>
      </c>
    </row>
    <row r="2" customFormat="false" ht="15" hidden="false" customHeight="true" outlineLevel="0" collapsed="false">
      <c r="A2" s="32" t="s">
        <v>35</v>
      </c>
      <c r="B2" s="33" t="s">
        <v>22</v>
      </c>
      <c r="C2" s="33" t="s">
        <v>36</v>
      </c>
      <c r="D2" s="33" t="s">
        <v>37</v>
      </c>
      <c r="E2" s="33" t="s">
        <v>38</v>
      </c>
      <c r="F2" s="33" t="s">
        <v>39</v>
      </c>
      <c r="G2" s="34" t="n">
        <v>720</v>
      </c>
      <c r="H2" s="34" t="n">
        <v>130</v>
      </c>
    </row>
    <row r="3" customFormat="false" ht="15" hidden="false" customHeight="true" outlineLevel="0" collapsed="false">
      <c r="A3" s="35" t="s">
        <v>40</v>
      </c>
      <c r="B3" s="12" t="s">
        <v>22</v>
      </c>
      <c r="C3" s="12" t="s">
        <v>41</v>
      </c>
      <c r="D3" s="12" t="s">
        <v>42</v>
      </c>
      <c r="E3" s="12" t="s">
        <v>43</v>
      </c>
      <c r="F3" s="12" t="s">
        <v>44</v>
      </c>
      <c r="G3" s="13" t="n">
        <v>185</v>
      </c>
      <c r="H3" s="13" t="n">
        <v>62</v>
      </c>
    </row>
    <row r="4" customFormat="false" ht="15" hidden="false" customHeight="true" outlineLevel="0" collapsed="false">
      <c r="A4" s="32" t="s">
        <v>45</v>
      </c>
      <c r="B4" s="33" t="s">
        <v>22</v>
      </c>
      <c r="C4" s="33" t="s">
        <v>46</v>
      </c>
      <c r="D4" s="33" t="s">
        <v>47</v>
      </c>
      <c r="E4" s="33" t="s">
        <v>48</v>
      </c>
      <c r="F4" s="33" t="s">
        <v>49</v>
      </c>
      <c r="G4" s="34" t="n">
        <v>860</v>
      </c>
      <c r="H4" s="34" t="n">
        <v>148</v>
      </c>
    </row>
    <row r="5" customFormat="false" ht="15" hidden="false" customHeight="true" outlineLevel="0" collapsed="false">
      <c r="A5" s="35" t="s">
        <v>50</v>
      </c>
      <c r="B5" s="12" t="s">
        <v>22</v>
      </c>
      <c r="C5" s="12" t="s">
        <v>36</v>
      </c>
      <c r="D5" s="12" t="s">
        <v>51</v>
      </c>
      <c r="E5" s="12" t="s">
        <v>52</v>
      </c>
      <c r="F5" s="12" t="s">
        <v>39</v>
      </c>
      <c r="G5" s="13" t="n">
        <v>96</v>
      </c>
      <c r="H5" s="13" t="n">
        <v>38</v>
      </c>
    </row>
    <row r="6" customFormat="false" ht="15" hidden="false" customHeight="true" outlineLevel="0" collapsed="false">
      <c r="A6" s="32" t="s">
        <v>53</v>
      </c>
      <c r="B6" s="33" t="s">
        <v>22</v>
      </c>
      <c r="C6" s="33" t="s">
        <v>41</v>
      </c>
      <c r="D6" s="33" t="s">
        <v>54</v>
      </c>
      <c r="E6" s="33" t="s">
        <v>55</v>
      </c>
      <c r="F6" s="33" t="s">
        <v>44</v>
      </c>
      <c r="G6" s="34" t="n">
        <v>135</v>
      </c>
      <c r="H6" s="34" t="n">
        <v>54</v>
      </c>
    </row>
    <row r="7" customFormat="false" ht="15" hidden="false" customHeight="true" outlineLevel="0" collapsed="false">
      <c r="A7" s="35" t="s">
        <v>56</v>
      </c>
      <c r="B7" s="12" t="s">
        <v>22</v>
      </c>
      <c r="C7" s="12" t="s">
        <v>46</v>
      </c>
      <c r="D7" s="12" t="s">
        <v>57</v>
      </c>
      <c r="E7" s="12" t="s">
        <v>58</v>
      </c>
      <c r="F7" s="12" t="s">
        <v>44</v>
      </c>
      <c r="G7" s="13" t="n">
        <v>1120</v>
      </c>
      <c r="H7" s="13" t="n">
        <v>168</v>
      </c>
    </row>
    <row r="8" customFormat="false" ht="15" hidden="false" customHeight="true" outlineLevel="0" collapsed="false">
      <c r="A8" s="32" t="s">
        <v>59</v>
      </c>
      <c r="B8" s="33" t="s">
        <v>22</v>
      </c>
      <c r="C8" s="33" t="s">
        <v>36</v>
      </c>
      <c r="D8" s="33" t="s">
        <v>60</v>
      </c>
      <c r="E8" s="33" t="s">
        <v>61</v>
      </c>
      <c r="F8" s="33" t="s">
        <v>49</v>
      </c>
      <c r="G8" s="34" t="n">
        <v>1450</v>
      </c>
      <c r="H8" s="34" t="n">
        <v>245</v>
      </c>
    </row>
    <row r="9" customFormat="false" ht="15" hidden="false" customHeight="true" outlineLevel="0" collapsed="false">
      <c r="A9" s="35" t="s">
        <v>62</v>
      </c>
      <c r="B9" s="12" t="s">
        <v>22</v>
      </c>
      <c r="C9" s="12" t="s">
        <v>41</v>
      </c>
      <c r="D9" s="12" t="s">
        <v>63</v>
      </c>
      <c r="E9" s="12" t="s">
        <v>64</v>
      </c>
      <c r="F9" s="12" t="s">
        <v>39</v>
      </c>
      <c r="G9" s="13" t="n">
        <v>540</v>
      </c>
      <c r="H9" s="13" t="n">
        <v>76</v>
      </c>
    </row>
    <row r="10" customFormat="false" ht="15" hidden="false" customHeight="true" outlineLevel="0" collapsed="false">
      <c r="A10" s="32" t="s">
        <v>65</v>
      </c>
      <c r="B10" s="33" t="s">
        <v>23</v>
      </c>
      <c r="C10" s="33" t="s">
        <v>36</v>
      </c>
      <c r="D10" s="33" t="s">
        <v>37</v>
      </c>
      <c r="E10" s="33" t="s">
        <v>66</v>
      </c>
      <c r="F10" s="33" t="s">
        <v>39</v>
      </c>
      <c r="G10" s="34" t="n">
        <v>980</v>
      </c>
      <c r="H10" s="34" t="n">
        <v>205</v>
      </c>
    </row>
    <row r="11" customFormat="false" ht="15" hidden="false" customHeight="true" outlineLevel="0" collapsed="false">
      <c r="A11" s="35" t="s">
        <v>67</v>
      </c>
      <c r="B11" s="12" t="s">
        <v>23</v>
      </c>
      <c r="C11" s="12" t="s">
        <v>46</v>
      </c>
      <c r="D11" s="12" t="s">
        <v>68</v>
      </c>
      <c r="E11" s="12" t="s">
        <v>69</v>
      </c>
      <c r="F11" s="12" t="s">
        <v>44</v>
      </c>
      <c r="G11" s="13" t="n">
        <v>735</v>
      </c>
      <c r="H11" s="13" t="n">
        <v>92</v>
      </c>
    </row>
    <row r="12" customFormat="false" ht="15" hidden="false" customHeight="true" outlineLevel="0" collapsed="false">
      <c r="A12" s="32" t="s">
        <v>70</v>
      </c>
      <c r="B12" s="33" t="s">
        <v>23</v>
      </c>
      <c r="C12" s="33" t="s">
        <v>41</v>
      </c>
      <c r="D12" s="33" t="s">
        <v>71</v>
      </c>
      <c r="E12" s="33" t="s">
        <v>72</v>
      </c>
      <c r="F12" s="33" t="s">
        <v>39</v>
      </c>
      <c r="G12" s="34" t="n">
        <v>88</v>
      </c>
      <c r="H12" s="34" t="n">
        <v>31</v>
      </c>
    </row>
    <row r="13" customFormat="false" ht="15" hidden="false" customHeight="true" outlineLevel="0" collapsed="false">
      <c r="A13" s="35" t="s">
        <v>73</v>
      </c>
      <c r="B13" s="12" t="s">
        <v>23</v>
      </c>
      <c r="C13" s="12" t="s">
        <v>36</v>
      </c>
      <c r="D13" s="12" t="s">
        <v>51</v>
      </c>
      <c r="E13" s="12" t="s">
        <v>74</v>
      </c>
      <c r="F13" s="12" t="s">
        <v>49</v>
      </c>
      <c r="G13" s="13" t="n">
        <v>310</v>
      </c>
      <c r="H13" s="13" t="n">
        <v>84</v>
      </c>
    </row>
    <row r="14" customFormat="false" ht="15" hidden="false" customHeight="true" outlineLevel="0" collapsed="false">
      <c r="A14" s="32" t="s">
        <v>75</v>
      </c>
      <c r="B14" s="33" t="s">
        <v>23</v>
      </c>
      <c r="C14" s="33" t="s">
        <v>46</v>
      </c>
      <c r="D14" s="33" t="s">
        <v>57</v>
      </c>
      <c r="E14" s="33" t="s">
        <v>76</v>
      </c>
      <c r="F14" s="33" t="s">
        <v>44</v>
      </c>
      <c r="G14" s="34" t="n">
        <v>1290</v>
      </c>
      <c r="H14" s="34" t="n">
        <v>206</v>
      </c>
    </row>
    <row r="15" customFormat="false" ht="15" hidden="false" customHeight="true" outlineLevel="0" collapsed="false">
      <c r="A15" s="35" t="s">
        <v>77</v>
      </c>
      <c r="B15" s="12" t="s">
        <v>23</v>
      </c>
      <c r="C15" s="12" t="s">
        <v>41</v>
      </c>
      <c r="D15" s="12" t="s">
        <v>78</v>
      </c>
      <c r="E15" s="12" t="s">
        <v>79</v>
      </c>
      <c r="F15" s="12" t="s">
        <v>49</v>
      </c>
      <c r="G15" s="13" t="n">
        <v>420</v>
      </c>
      <c r="H15" s="13" t="n">
        <v>74</v>
      </c>
    </row>
    <row r="16" customFormat="false" ht="15" hidden="false" customHeight="true" outlineLevel="0" collapsed="false">
      <c r="A16" s="32" t="s">
        <v>80</v>
      </c>
      <c r="B16" s="33" t="s">
        <v>23</v>
      </c>
      <c r="C16" s="33" t="s">
        <v>36</v>
      </c>
      <c r="D16" s="33" t="s">
        <v>81</v>
      </c>
      <c r="E16" s="33" t="s">
        <v>82</v>
      </c>
      <c r="F16" s="33" t="s">
        <v>39</v>
      </c>
      <c r="G16" s="34" t="n">
        <v>620</v>
      </c>
      <c r="H16" s="34" t="n">
        <v>112</v>
      </c>
    </row>
    <row r="17" customFormat="false" ht="15" hidden="false" customHeight="true" outlineLevel="0" collapsed="false">
      <c r="A17" s="35" t="s">
        <v>83</v>
      </c>
      <c r="B17" s="12" t="s">
        <v>23</v>
      </c>
      <c r="C17" s="12" t="s">
        <v>46</v>
      </c>
      <c r="D17" s="12" t="s">
        <v>47</v>
      </c>
      <c r="E17" s="12" t="s">
        <v>84</v>
      </c>
      <c r="F17" s="12" t="s">
        <v>44</v>
      </c>
      <c r="G17" s="13" t="n">
        <v>790</v>
      </c>
      <c r="H17" s="13" t="n">
        <v>121</v>
      </c>
    </row>
    <row r="18" customFormat="false" ht="15" hidden="false" customHeight="true" outlineLevel="0" collapsed="false">
      <c r="A18" s="32" t="s">
        <v>85</v>
      </c>
      <c r="B18" s="33" t="s">
        <v>24</v>
      </c>
      <c r="C18" s="33" t="s">
        <v>41</v>
      </c>
      <c r="D18" s="33" t="s">
        <v>54</v>
      </c>
      <c r="E18" s="33" t="s">
        <v>86</v>
      </c>
      <c r="F18" s="33" t="s">
        <v>39</v>
      </c>
      <c r="G18" s="34" t="n">
        <v>110</v>
      </c>
      <c r="H18" s="34" t="n">
        <v>42</v>
      </c>
    </row>
    <row r="19" customFormat="false" ht="15" hidden="false" customHeight="true" outlineLevel="0" collapsed="false">
      <c r="A19" s="35" t="s">
        <v>87</v>
      </c>
      <c r="B19" s="12" t="s">
        <v>24</v>
      </c>
      <c r="C19" s="12" t="s">
        <v>36</v>
      </c>
      <c r="D19" s="12" t="s">
        <v>37</v>
      </c>
      <c r="E19" s="12" t="s">
        <v>88</v>
      </c>
      <c r="F19" s="12" t="s">
        <v>49</v>
      </c>
      <c r="G19" s="13" t="n">
        <v>835</v>
      </c>
      <c r="H19" s="13" t="n">
        <v>156</v>
      </c>
    </row>
    <row r="20" customFormat="false" ht="15" hidden="false" customHeight="true" outlineLevel="0" collapsed="false">
      <c r="A20" s="32" t="s">
        <v>89</v>
      </c>
      <c r="B20" s="33" t="s">
        <v>24</v>
      </c>
      <c r="C20" s="33" t="s">
        <v>46</v>
      </c>
      <c r="D20" s="33" t="s">
        <v>47</v>
      </c>
      <c r="E20" s="33" t="s">
        <v>90</v>
      </c>
      <c r="F20" s="33" t="s">
        <v>44</v>
      </c>
      <c r="G20" s="34" t="n">
        <v>510</v>
      </c>
      <c r="H20" s="34" t="n">
        <v>83</v>
      </c>
    </row>
    <row r="21" customFormat="false" ht="15" hidden="false" customHeight="true" outlineLevel="0" collapsed="false">
      <c r="A21" s="35" t="s">
        <v>91</v>
      </c>
      <c r="B21" s="12" t="s">
        <v>24</v>
      </c>
      <c r="C21" s="12" t="s">
        <v>41</v>
      </c>
      <c r="D21" s="12" t="s">
        <v>42</v>
      </c>
      <c r="E21" s="12" t="s">
        <v>92</v>
      </c>
      <c r="F21" s="12" t="s">
        <v>39</v>
      </c>
      <c r="G21" s="13" t="n">
        <v>145</v>
      </c>
      <c r="H21" s="13" t="n">
        <v>49</v>
      </c>
    </row>
    <row r="22" customFormat="false" ht="15" hidden="false" customHeight="true" outlineLevel="0" collapsed="false">
      <c r="A22" s="32" t="s">
        <v>93</v>
      </c>
      <c r="B22" s="33" t="s">
        <v>24</v>
      </c>
      <c r="C22" s="33" t="s">
        <v>36</v>
      </c>
      <c r="D22" s="33" t="s">
        <v>51</v>
      </c>
      <c r="E22" s="33" t="s">
        <v>94</v>
      </c>
      <c r="F22" s="33" t="s">
        <v>44</v>
      </c>
      <c r="G22" s="34" t="n">
        <v>175</v>
      </c>
      <c r="H22" s="34" t="n">
        <v>58</v>
      </c>
    </row>
    <row r="23" customFormat="false" ht="15" hidden="false" customHeight="true" outlineLevel="0" collapsed="false">
      <c r="A23" s="35" t="s">
        <v>95</v>
      </c>
      <c r="B23" s="12" t="s">
        <v>24</v>
      </c>
      <c r="C23" s="12" t="s">
        <v>46</v>
      </c>
      <c r="D23" s="12" t="s">
        <v>68</v>
      </c>
      <c r="E23" s="12" t="s">
        <v>96</v>
      </c>
      <c r="F23" s="12" t="s">
        <v>49</v>
      </c>
      <c r="G23" s="13" t="n">
        <v>680</v>
      </c>
      <c r="H23" s="13" t="n">
        <v>96</v>
      </c>
    </row>
    <row r="24" customFormat="false" ht="15" hidden="false" customHeight="true" outlineLevel="0" collapsed="false">
      <c r="A24" s="32" t="s">
        <v>97</v>
      </c>
      <c r="B24" s="33" t="s">
        <v>24</v>
      </c>
      <c r="C24" s="33" t="s">
        <v>41</v>
      </c>
      <c r="D24" s="33" t="s">
        <v>63</v>
      </c>
      <c r="E24" s="33" t="s">
        <v>98</v>
      </c>
      <c r="F24" s="33" t="s">
        <v>39</v>
      </c>
      <c r="G24" s="34" t="n">
        <v>225</v>
      </c>
      <c r="H24" s="34" t="n">
        <v>61</v>
      </c>
    </row>
    <row r="25" customFormat="false" ht="15" hidden="false" customHeight="true" outlineLevel="0" collapsed="false">
      <c r="A25" s="35" t="s">
        <v>99</v>
      </c>
      <c r="B25" s="12" t="s">
        <v>24</v>
      </c>
      <c r="C25" s="12" t="s">
        <v>36</v>
      </c>
      <c r="D25" s="12" t="s">
        <v>100</v>
      </c>
      <c r="E25" s="12" t="s">
        <v>101</v>
      </c>
      <c r="F25" s="12" t="s">
        <v>44</v>
      </c>
      <c r="G25" s="13" t="n">
        <v>1180</v>
      </c>
      <c r="H25" s="13" t="n">
        <v>198</v>
      </c>
    </row>
    <row r="26" customFormat="false" ht="15" hidden="false" customHeight="true" outlineLevel="0" collapsed="false">
      <c r="A26" s="32" t="s">
        <v>102</v>
      </c>
      <c r="B26" s="33" t="s">
        <v>25</v>
      </c>
      <c r="C26" s="33" t="s">
        <v>46</v>
      </c>
      <c r="D26" s="33" t="s">
        <v>47</v>
      </c>
      <c r="E26" s="33" t="s">
        <v>103</v>
      </c>
      <c r="F26" s="33" t="s">
        <v>44</v>
      </c>
      <c r="G26" s="34" t="n">
        <v>910</v>
      </c>
      <c r="H26" s="34" t="n">
        <v>142</v>
      </c>
    </row>
    <row r="27" customFormat="false" ht="15" hidden="false" customHeight="true" outlineLevel="0" collapsed="false">
      <c r="A27" s="35" t="s">
        <v>104</v>
      </c>
      <c r="B27" s="12" t="s">
        <v>25</v>
      </c>
      <c r="C27" s="12" t="s">
        <v>41</v>
      </c>
      <c r="D27" s="12" t="s">
        <v>54</v>
      </c>
      <c r="E27" s="12" t="s">
        <v>105</v>
      </c>
      <c r="F27" s="12" t="s">
        <v>39</v>
      </c>
      <c r="G27" s="13" t="n">
        <v>120</v>
      </c>
      <c r="H27" s="13" t="n">
        <v>44</v>
      </c>
    </row>
    <row r="28" customFormat="false" ht="15" hidden="false" customHeight="true" outlineLevel="0" collapsed="false">
      <c r="A28" s="32" t="s">
        <v>106</v>
      </c>
      <c r="B28" s="33" t="s">
        <v>25</v>
      </c>
      <c r="C28" s="33" t="s">
        <v>36</v>
      </c>
      <c r="D28" s="33" t="s">
        <v>37</v>
      </c>
      <c r="E28" s="33" t="s">
        <v>107</v>
      </c>
      <c r="F28" s="33" t="s">
        <v>39</v>
      </c>
      <c r="G28" s="34" t="n">
        <v>690</v>
      </c>
      <c r="H28" s="34" t="n">
        <v>126</v>
      </c>
    </row>
    <row r="29" customFormat="false" ht="15" hidden="false" customHeight="true" outlineLevel="0" collapsed="false">
      <c r="A29" s="35" t="s">
        <v>108</v>
      </c>
      <c r="B29" s="12" t="s">
        <v>25</v>
      </c>
      <c r="C29" s="12" t="s">
        <v>46</v>
      </c>
      <c r="D29" s="12" t="s">
        <v>57</v>
      </c>
      <c r="E29" s="12" t="s">
        <v>109</v>
      </c>
      <c r="F29" s="12" t="s">
        <v>49</v>
      </c>
      <c r="G29" s="13" t="n">
        <v>280</v>
      </c>
      <c r="H29" s="13" t="n">
        <v>57</v>
      </c>
    </row>
    <row r="30" customFormat="false" ht="15" hidden="false" customHeight="true" outlineLevel="0" collapsed="false">
      <c r="A30" s="32" t="s">
        <v>110</v>
      </c>
      <c r="B30" s="33" t="s">
        <v>25</v>
      </c>
      <c r="C30" s="33" t="s">
        <v>41</v>
      </c>
      <c r="D30" s="33" t="s">
        <v>78</v>
      </c>
      <c r="E30" s="33" t="s">
        <v>111</v>
      </c>
      <c r="F30" s="33" t="s">
        <v>49</v>
      </c>
      <c r="G30" s="34" t="n">
        <v>155</v>
      </c>
      <c r="H30" s="34" t="n">
        <v>46</v>
      </c>
    </row>
    <row r="31" customFormat="false" ht="15" hidden="false" customHeight="true" outlineLevel="0" collapsed="false">
      <c r="A31" s="35" t="s">
        <v>112</v>
      </c>
      <c r="B31" s="12" t="s">
        <v>25</v>
      </c>
      <c r="C31" s="12" t="s">
        <v>36</v>
      </c>
      <c r="D31" s="12" t="s">
        <v>60</v>
      </c>
      <c r="E31" s="12" t="s">
        <v>113</v>
      </c>
      <c r="F31" s="12" t="s">
        <v>39</v>
      </c>
      <c r="G31" s="13" t="n">
        <v>990</v>
      </c>
      <c r="H31" s="13" t="n">
        <v>171</v>
      </c>
    </row>
    <row r="32" customFormat="false" ht="15" hidden="false" customHeight="true" outlineLevel="0" collapsed="false">
      <c r="A32" s="32" t="s">
        <v>114</v>
      </c>
      <c r="B32" s="33" t="s">
        <v>25</v>
      </c>
      <c r="C32" s="33" t="s">
        <v>46</v>
      </c>
      <c r="D32" s="33" t="s">
        <v>68</v>
      </c>
      <c r="E32" s="33" t="s">
        <v>115</v>
      </c>
      <c r="F32" s="33" t="s">
        <v>44</v>
      </c>
      <c r="G32" s="34" t="n">
        <v>430</v>
      </c>
      <c r="H32" s="34" t="n">
        <v>72</v>
      </c>
    </row>
    <row r="33" customFormat="false" ht="15" hidden="false" customHeight="true" outlineLevel="0" collapsed="false">
      <c r="A33" s="35" t="s">
        <v>116</v>
      </c>
      <c r="B33" s="12" t="s">
        <v>25</v>
      </c>
      <c r="C33" s="12" t="s">
        <v>41</v>
      </c>
      <c r="D33" s="12" t="s">
        <v>63</v>
      </c>
      <c r="E33" s="12" t="s">
        <v>117</v>
      </c>
      <c r="F33" s="12" t="s">
        <v>39</v>
      </c>
      <c r="G33" s="13" t="n">
        <v>95</v>
      </c>
      <c r="H33" s="13" t="n">
        <v>34</v>
      </c>
    </row>
  </sheetData>
  <autoFilter ref="A1:H33"/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tableParts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6" min="3" style="1" width="18"/>
  </cols>
  <sheetData>
    <row r="1" customFormat="false" ht="30" hidden="false" customHeight="true" outlineLevel="0" collapsed="false">
      <c r="A1" s="36" t="s">
        <v>118</v>
      </c>
      <c r="B1" s="36"/>
      <c r="C1" s="36"/>
      <c r="D1" s="36"/>
      <c r="E1" s="36"/>
      <c r="F1" s="36"/>
    </row>
    <row r="3" customFormat="false" ht="33.75" hidden="false" customHeight="true" outlineLevel="0" collapsed="false">
      <c r="A3" s="37" t="s">
        <v>119</v>
      </c>
      <c r="B3" s="38" t="s">
        <v>120</v>
      </c>
      <c r="C3" s="38"/>
      <c r="D3" s="38"/>
      <c r="E3" s="38"/>
      <c r="F3" s="38"/>
    </row>
    <row r="4" customFormat="false" ht="33.75" hidden="false" customHeight="true" outlineLevel="0" collapsed="false">
      <c r="A4" s="39" t="s">
        <v>121</v>
      </c>
      <c r="B4" s="15" t="s">
        <v>122</v>
      </c>
      <c r="C4" s="15"/>
      <c r="D4" s="15"/>
      <c r="E4" s="15"/>
      <c r="F4" s="15"/>
    </row>
    <row r="5" customFormat="false" ht="33.75" hidden="false" customHeight="true" outlineLevel="0" collapsed="false">
      <c r="A5" s="37" t="s">
        <v>123</v>
      </c>
      <c r="B5" s="38" t="s">
        <v>124</v>
      </c>
      <c r="C5" s="38"/>
      <c r="D5" s="38"/>
      <c r="E5" s="38"/>
      <c r="F5" s="38"/>
    </row>
    <row r="6" customFormat="false" ht="33.75" hidden="false" customHeight="true" outlineLevel="0" collapsed="false">
      <c r="A6" s="39" t="s">
        <v>125</v>
      </c>
      <c r="B6" s="15" t="s">
        <v>126</v>
      </c>
      <c r="C6" s="15"/>
      <c r="D6" s="15"/>
      <c r="E6" s="15"/>
      <c r="F6" s="15"/>
    </row>
    <row r="7" customFormat="false" ht="33.75" hidden="false" customHeight="true" outlineLevel="0" collapsed="false">
      <c r="A7" s="37" t="s">
        <v>127</v>
      </c>
      <c r="B7" s="38" t="s">
        <v>128</v>
      </c>
      <c r="C7" s="38"/>
      <c r="D7" s="38"/>
      <c r="E7" s="38"/>
      <c r="F7" s="38"/>
    </row>
    <row r="8" customFormat="false" ht="33.75" hidden="false" customHeight="true" outlineLevel="0" collapsed="false">
      <c r="A8" s="39" t="s">
        <v>129</v>
      </c>
      <c r="B8" s="15" t="s">
        <v>130</v>
      </c>
      <c r="C8" s="15"/>
      <c r="D8" s="15"/>
      <c r="E8" s="15"/>
      <c r="F8" s="15"/>
    </row>
    <row r="9" customFormat="false" ht="33.75" hidden="false" customHeight="true" outlineLevel="0" collapsed="false">
      <c r="A9" s="37" t="s">
        <v>131</v>
      </c>
      <c r="B9" s="38" t="s">
        <v>132</v>
      </c>
      <c r="C9" s="38"/>
      <c r="D9" s="38"/>
      <c r="E9" s="38"/>
      <c r="F9" s="38"/>
    </row>
    <row r="10" customFormat="false" ht="33.75" hidden="false" customHeight="true" outlineLevel="0" collapsed="false">
      <c r="A10" s="39" t="s">
        <v>133</v>
      </c>
      <c r="B10" s="15" t="s">
        <v>134</v>
      </c>
      <c r="C10" s="15"/>
      <c r="D10" s="15"/>
      <c r="E10" s="15"/>
      <c r="F10" s="15"/>
    </row>
  </sheetData>
  <mergeCells count="9">
    <mergeCell ref="A1:F1"/>
    <mergeCell ref="B3:F3"/>
    <mergeCell ref="B4:F4"/>
    <mergeCell ref="B5:F5"/>
    <mergeCell ref="B6:F6"/>
    <mergeCell ref="B7:F7"/>
    <mergeCell ref="B8:F8"/>
    <mergeCell ref="B9:F9"/>
    <mergeCell ref="B10:F10"/>
  </mergeCells>
  <printOptions headings="false" gridLines="false" gridLinesSet="true" horizontalCentered="false" verticalCentered="false"/>
  <pageMargins left="0.25" right="0.25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2026-10-04T12:35:16Z</dcterms:created>
  <dc:creator>openpyxl</dc:creator>
  <dc:description/>
  <dc:language>en-US</dc:language>
  <cp:lastModifiedBy/>
  <dcterms:modified xsi:type="dcterms:W3CDTF">2026-10-04T12:35:47Z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